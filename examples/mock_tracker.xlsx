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ily Review" sheetId="3" state="visible" r:id="rId3"/>
    <sheet xmlns:r="http://schemas.openxmlformats.org/officeDocument/2006/relationships" name="Interview Review" sheetId="4" state="visible" r:id="rId4"/>
    <sheet xmlns:r="http://schemas.openxmlformats.org/officeDocument/2006/relationships" name="Config" sheetId="5" state="visible" r:id="rId5"/>
  </sheets>
  <definedNames>
    <definedName name="Platform">'Config'!$A$2:$A$7</definedName>
    <definedName name="Company_Size">'Config'!$B$2:$B$7</definedName>
    <definedName name="Priority_Tier">'Config'!$C$2:$C$5</definedName>
    <definedName name="Job_Type">'Config'!$D$2:$D$7</definedName>
    <definedName name="Match_Level">'Config'!$E$2:$E$4</definedName>
    <definedName name="Contacted_Proactively">'Config'!$F$2:$F$3</definedName>
    <definedName name="Opening_Message_Version">'Config'!$G$2:$G$6</definedName>
    <definedName name="Resume_Version">'Config'!$H$2:$H$4</definedName>
    <definedName name="Current_Status">'Config'!$I$2:$I$10</definedName>
    <definedName name="Interview_Round">'Config'!$J$2:$J$6</definedName>
    <definedName name="Interview_Result">'Config'!$K$2:$K$6</definedName>
    <definedName name="Next_Action">'Config'!$L$2:$L$8</definedName>
    <definedName name="_xlnm._FilterDatabase" localSheetId="0" hidden="1">'Applications'!$A$1:$Y$5</definedName>
    <definedName name="_xlnm._FilterDatabase" localSheetId="2" hidden="1">'Daily Review'!$A$1:$K$2</definedName>
    <definedName name="_xlnm._FilterDatabase" localSheetId="3" hidden="1">'Interview Review'!$A$1:$N$2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E0E7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'Dashboard'!$A$6:$A$14</f>
            </numRef>
          </cat>
          <val>
            <numRef>
              <f>'Dashboard'!$B$6:$B$14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LT</author>
  </authors>
  <commentList>
    <comment ref="A1" authorId="0" shapeId="0">
      <text>
        <t>This sheet is for personal job application tracking. Do not commit real tracker data to public repositories.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4" customWidth="1" min="4" max="4"/>
    <col width="30" customWidth="1" min="5" max="5"/>
    <col width="14" customWidth="1" min="6" max="6"/>
    <col width="16" customWidth="1" min="7" max="7"/>
    <col width="16" customWidth="1" min="8" max="8"/>
    <col width="32" customWidth="1" min="9" max="9"/>
    <col width="18" customWidth="1" min="10" max="10"/>
    <col width="18" customWidth="1" min="11" max="11"/>
    <col width="42" customWidth="1" min="12" max="12"/>
    <col width="14" customWidth="1" min="13" max="13"/>
    <col width="18" customWidth="1" min="14" max="14"/>
    <col width="24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8" customWidth="1" min="21" max="21"/>
    <col width="18" customWidth="1" min="22" max="22"/>
    <col width="34" customWidth="1" min="23" max="23"/>
    <col width="20" customWidth="1" min="24" max="24"/>
    <col width="34" customWidth="1" min="25" max="25"/>
  </cols>
  <sheetData>
    <row r="1">
      <c r="A1" s="1" t="inlineStr">
        <is>
          <t>ID</t>
        </is>
      </c>
      <c r="B1" s="1" t="inlineStr">
        <is>
          <t>Application Date</t>
        </is>
      </c>
      <c r="C1" s="1" t="inlineStr">
        <is>
          <t>Platform</t>
        </is>
      </c>
      <c r="D1" s="1" t="inlineStr">
        <is>
          <t>Company</t>
        </is>
      </c>
      <c r="E1" s="1" t="inlineStr">
        <is>
          <t>Position</t>
        </is>
      </c>
      <c r="F1" s="1" t="inlineStr">
        <is>
          <t>City</t>
        </is>
      </c>
      <c r="G1" s="1" t="inlineStr">
        <is>
          <t>Company Size</t>
        </is>
      </c>
      <c r="H1" s="1" t="inlineStr">
        <is>
          <t>Salary Range</t>
        </is>
      </c>
      <c r="I1" s="1" t="inlineStr">
        <is>
          <t>Job Link</t>
        </is>
      </c>
      <c r="J1" s="1" t="inlineStr">
        <is>
          <t>Priority Tier</t>
        </is>
      </c>
      <c r="K1" s="1" t="inlineStr">
        <is>
          <t>Job Type</t>
        </is>
      </c>
      <c r="L1" s="1" t="inlineStr">
        <is>
          <t>JD Keywords</t>
        </is>
      </c>
      <c r="M1" s="1" t="inlineStr">
        <is>
          <t>Match Level</t>
        </is>
      </c>
      <c r="N1" s="1" t="inlineStr">
        <is>
          <t>Contacted Proactively</t>
        </is>
      </c>
      <c r="O1" s="1" t="inlineStr">
        <is>
          <t>Opening Message Version</t>
        </is>
      </c>
      <c r="P1" s="1" t="inlineStr">
        <is>
          <t>Resume Version</t>
        </is>
      </c>
      <c r="Q1" s="1" t="inlineStr">
        <is>
          <t>Current Status</t>
        </is>
      </c>
      <c r="R1" s="1" t="inlineStr">
        <is>
          <t>Read Time</t>
        </is>
      </c>
      <c r="S1" s="1" t="inlineStr">
        <is>
          <t>Reply Time</t>
        </is>
      </c>
      <c r="T1" s="1" t="inlineStr">
        <is>
          <t>Interview Time</t>
        </is>
      </c>
      <c r="U1" s="1" t="inlineStr">
        <is>
          <t>Interview Round</t>
        </is>
      </c>
      <c r="V1" s="1" t="inlineStr">
        <is>
          <t>Interview Result</t>
        </is>
      </c>
      <c r="W1" s="1" t="inlineStr">
        <is>
          <t>Blocker or Rejection Reason</t>
        </is>
      </c>
      <c r="X1" s="1" t="inlineStr">
        <is>
          <t>Next Action</t>
        </is>
      </c>
      <c r="Y1" s="1" t="inlineStr">
        <is>
          <t>Notes</t>
        </is>
      </c>
    </row>
    <row r="2">
      <c r="A2" s="2" t="n">
        <v>1</v>
      </c>
      <c r="B2" s="5" t="n">
        <v>46203</v>
      </c>
      <c r="C2" s="2" t="inlineStr">
        <is>
          <t>BOSS</t>
        </is>
      </c>
      <c r="D2" s="2" t="inlineStr">
        <is>
          <t>Example Tech</t>
        </is>
      </c>
      <c r="E2" s="2" t="inlineStr">
        <is>
          <t>Java Backend Intern</t>
        </is>
      </c>
      <c r="F2" s="2" t="inlineStr">
        <is>
          <t>Beijing</t>
        </is>
      </c>
      <c r="G2" s="2" t="inlineStr">
        <is>
          <t>100-499</t>
        </is>
      </c>
      <c r="H2" s="2" t="inlineStr">
        <is>
          <t>200-300/day</t>
        </is>
      </c>
      <c r="I2" s="2" t="inlineStr"/>
      <c r="J2" s="2" t="inlineStr">
        <is>
          <t>A - High Match</t>
        </is>
      </c>
      <c r="K2" s="2" t="inlineStr">
        <is>
          <t>Java Backend</t>
        </is>
      </c>
      <c r="L2" s="2" t="inlineStr">
        <is>
          <t>Java; Spring Boot; MySQL; Redis</t>
        </is>
      </c>
      <c r="M2" s="2" t="inlineStr">
        <is>
          <t>High</t>
        </is>
      </c>
      <c r="N2" s="2" t="inlineStr">
        <is>
          <t>Yes</t>
        </is>
      </c>
      <c r="O2" s="2" t="inlineStr">
        <is>
          <t>Normal Java</t>
        </is>
      </c>
      <c r="P2" s="2" t="inlineStr">
        <is>
          <t>A - Java Backend</t>
        </is>
      </c>
      <c r="Q2" s="2" t="inlineStr">
        <is>
          <t>Contacted</t>
        </is>
      </c>
      <c r="R2" s="6" t="n"/>
      <c r="S2" s="6" t="n"/>
      <c r="T2" s="6" t="n"/>
      <c r="U2" s="2" t="inlineStr"/>
      <c r="V2" s="2" t="inlineStr">
        <is>
          <t>Not Started</t>
        </is>
      </c>
      <c r="W2" s="2" t="inlineStr"/>
      <c r="X2" s="2" t="inlineStr">
        <is>
          <t>Wait for Reply</t>
        </is>
      </c>
      <c r="Y2" s="2" t="inlineStr">
        <is>
          <t>Mock row only</t>
        </is>
      </c>
    </row>
    <row r="3">
      <c r="A3" s="2" t="n">
        <v>2</v>
      </c>
      <c r="B3" s="5" t="n">
        <v>46203</v>
      </c>
      <c r="C3" s="2" t="inlineStr">
        <is>
          <t>Referral</t>
        </is>
      </c>
      <c r="D3" s="2" t="inlineStr">
        <is>
          <t>Sample AI</t>
        </is>
      </c>
      <c r="E3" s="2" t="inlineStr">
        <is>
          <t>AI Application Backend Intern</t>
        </is>
      </c>
      <c r="F3" s="2" t="inlineStr">
        <is>
          <t>Shanghai</t>
        </is>
      </c>
      <c r="G3" s="2" t="inlineStr">
        <is>
          <t>20-99</t>
        </is>
      </c>
      <c r="H3" s="2" t="inlineStr">
        <is>
          <t>250-350/day</t>
        </is>
      </c>
      <c r="I3" s="2" t="inlineStr"/>
      <c r="J3" s="2" t="inlineStr">
        <is>
          <t>A - High Match</t>
        </is>
      </c>
      <c r="K3" s="2" t="inlineStr">
        <is>
          <t>AI Backend</t>
        </is>
      </c>
      <c r="L3" s="2" t="inlineStr">
        <is>
          <t>Spring Boot; RAG; Tool Calling; PostgreSQL</t>
        </is>
      </c>
      <c r="M3" s="2" t="inlineStr">
        <is>
          <t>High</t>
        </is>
      </c>
      <c r="N3" s="2" t="inlineStr">
        <is>
          <t>Yes</t>
        </is>
      </c>
      <c r="O3" s="2" t="inlineStr">
        <is>
          <t>AI Backend</t>
        </is>
      </c>
      <c r="P3" s="2" t="inlineStr">
        <is>
          <t>B - AI Backend</t>
        </is>
      </c>
      <c r="Q3" s="2" t="inlineStr">
        <is>
          <t>Replied</t>
        </is>
      </c>
      <c r="R3" s="6" t="n"/>
      <c r="S3" s="6" t="n">
        <v>46203.60416666666</v>
      </c>
      <c r="T3" s="6" t="n"/>
      <c r="U3" s="2" t="inlineStr"/>
      <c r="V3" s="2" t="inlineStr">
        <is>
          <t>Not Started</t>
        </is>
      </c>
      <c r="W3" s="2" t="inlineStr"/>
      <c r="X3" s="2" t="inlineStr">
        <is>
          <t>Send Resume</t>
        </is>
      </c>
      <c r="Y3" s="2" t="inlineStr">
        <is>
          <t>Mock HR asked for resume</t>
        </is>
      </c>
    </row>
    <row r="4">
      <c r="A4" s="2" t="n">
        <v>3</v>
      </c>
      <c r="B4" s="5" t="n">
        <v>46203</v>
      </c>
      <c r="C4" s="2" t="inlineStr">
        <is>
          <t>Official Site</t>
        </is>
      </c>
      <c r="D4" s="2" t="inlineStr">
        <is>
          <t>Demo Cloud</t>
        </is>
      </c>
      <c r="E4" s="2" t="inlineStr">
        <is>
          <t>Backend Development Intern</t>
        </is>
      </c>
      <c r="F4" s="2" t="inlineStr">
        <is>
          <t>Hangzhou</t>
        </is>
      </c>
      <c r="G4" s="2" t="inlineStr">
        <is>
          <t>500-999</t>
        </is>
      </c>
      <c r="H4" s="2" t="inlineStr">
        <is>
          <t>180-260/day</t>
        </is>
      </c>
      <c r="I4" s="2" t="inlineStr"/>
      <c r="J4" s="2" t="inlineStr">
        <is>
          <t>B - Worth Applying</t>
        </is>
      </c>
      <c r="K4" s="2" t="inlineStr">
        <is>
          <t>Backend</t>
        </is>
      </c>
      <c r="L4" s="2" t="inlineStr">
        <is>
          <t>Java; API; Docker</t>
        </is>
      </c>
      <c r="M4" s="2" t="inlineStr">
        <is>
          <t>Medium</t>
        </is>
      </c>
      <c r="N4" s="2" t="inlineStr">
        <is>
          <t>No</t>
        </is>
      </c>
      <c r="O4" s="2" t="inlineStr">
        <is>
          <t>Formal Short</t>
        </is>
      </c>
      <c r="P4" s="2" t="inlineStr">
        <is>
          <t>A - Java Backend</t>
        </is>
      </c>
      <c r="Q4" s="2" t="inlineStr">
        <is>
          <t>Read No Reply</t>
        </is>
      </c>
      <c r="R4" s="6" t="n">
        <v>46203.43055555555</v>
      </c>
      <c r="S4" s="6" t="n"/>
      <c r="T4" s="6" t="n"/>
      <c r="U4" s="2" t="inlineStr"/>
      <c r="V4" s="2" t="inlineStr">
        <is>
          <t>Not Started</t>
        </is>
      </c>
      <c r="W4" s="2" t="inlineStr"/>
      <c r="X4" s="2" t="inlineStr">
        <is>
          <t>Follow Up</t>
        </is>
      </c>
      <c r="Y4" s="2" t="inlineStr">
        <is>
          <t>Mock read-no-reply status</t>
        </is>
      </c>
    </row>
    <row r="5">
      <c r="A5" s="2" t="n">
        <v>4</v>
      </c>
      <c r="B5" s="5" t="n">
        <v>46203</v>
      </c>
      <c r="C5" s="2" t="inlineStr">
        <is>
          <t>Other</t>
        </is>
      </c>
      <c r="D5" s="2" t="inlineStr">
        <is>
          <t>Mock Data Lab</t>
        </is>
      </c>
      <c r="E5" s="2" t="inlineStr">
        <is>
          <t>Test Engineer Intern</t>
        </is>
      </c>
      <c r="F5" s="2" t="inlineStr">
        <is>
          <t>Remote</t>
        </is>
      </c>
      <c r="G5" s="2" t="inlineStr">
        <is>
          <t>20-99</t>
        </is>
      </c>
      <c r="H5" s="2" t="inlineStr">
        <is>
          <t>150-200/day</t>
        </is>
      </c>
      <c r="I5" s="2" t="inlineStr"/>
      <c r="J5" s="2" t="inlineStr">
        <is>
          <t>C - Practice</t>
        </is>
      </c>
      <c r="K5" s="2" t="inlineStr">
        <is>
          <t>Other</t>
        </is>
      </c>
      <c r="L5" s="2" t="inlineStr">
        <is>
          <t>Testing; SQL; Python</t>
        </is>
      </c>
      <c r="M5" s="2" t="inlineStr">
        <is>
          <t>Low</t>
        </is>
      </c>
      <c r="N5" s="2" t="inlineStr">
        <is>
          <t>Yes</t>
        </is>
      </c>
      <c r="O5" s="2" t="inlineStr">
        <is>
          <t>Other</t>
        </is>
      </c>
      <c r="P5" s="2" t="inlineStr">
        <is>
          <t>Other</t>
        </is>
      </c>
      <c r="Q5" s="2" t="inlineStr">
        <is>
          <t>Rejected</t>
        </is>
      </c>
      <c r="R5" s="6" t="n"/>
      <c r="S5" s="6" t="n">
        <v>46203.67361111111</v>
      </c>
      <c r="T5" s="6" t="n"/>
      <c r="U5" s="2" t="inlineStr"/>
      <c r="V5" s="2" t="inlineStr">
        <is>
          <t>Failed</t>
        </is>
      </c>
      <c r="W5" s="2" t="inlineStr">
        <is>
          <t>Position mismatch</t>
        </is>
      </c>
      <c r="X5" s="2" t="inlineStr">
        <is>
          <t>Give Up</t>
        </is>
      </c>
      <c r="Y5" s="2" t="inlineStr">
        <is>
          <t>Mock rejection example</t>
        </is>
      </c>
    </row>
  </sheetData>
  <autoFilter ref="A1:Y5"/>
  <conditionalFormatting sqref="A2:Y1000">
    <cfRule type="expression" priority="1" dxfId="0">
      <formula>OR($Q2="Interview Scheduled",$Q2="Offer")</formula>
    </cfRule>
    <cfRule type="expression" priority="2" dxfId="1">
      <formula>$Q2="Rejected"</formula>
    </cfRule>
    <cfRule type="expression" priority="3" dxfId="2">
      <formula>$Q2="Read No Reply"</formula>
    </cfRule>
  </conditionalFormatting>
  <conditionalFormatting sqref="J2:J1000">
    <cfRule type="expression" priority="4" dxfId="3">
      <formula>$J2="A - High Match"</formula>
    </cfRule>
  </conditionalFormatting>
  <conditionalFormatting sqref="M2:M1000">
    <cfRule type="expression" priority="5" dxfId="4">
      <formula>$M2="High"</formula>
    </cfRule>
  </conditionalFormatting>
  <dataValidations count="12">
    <dataValidation sqref="C2:C1000" showDropDown="0" showInputMessage="0" showErrorMessage="0" allowBlank="1" type="list">
      <formula1>=Platform</formula1>
    </dataValidation>
    <dataValidation sqref="G2:G1000" showDropDown="0" showInputMessage="0" showErrorMessage="0" allowBlank="1" type="list">
      <formula1>=Company_Size</formula1>
    </dataValidation>
    <dataValidation sqref="J2:J1000" showDropDown="0" showInputMessage="0" showErrorMessage="0" allowBlank="1" type="list">
      <formula1>=Priority_Tier</formula1>
    </dataValidation>
    <dataValidation sqref="K2:K1000" showDropDown="0" showInputMessage="0" showErrorMessage="0" allowBlank="1" type="list">
      <formula1>=Job_Type</formula1>
    </dataValidation>
    <dataValidation sqref="M2:M1000" showDropDown="0" showInputMessage="0" showErrorMessage="0" allowBlank="1" type="list">
      <formula1>=Match_Level</formula1>
    </dataValidation>
    <dataValidation sqref="N2:N1000" showDropDown="0" showInputMessage="0" showErrorMessage="0" allowBlank="1" type="list">
      <formula1>=Contacted_Proactively</formula1>
    </dataValidation>
    <dataValidation sqref="O2:O1000" showDropDown="0" showInputMessage="0" showErrorMessage="0" allowBlank="1" type="list">
      <formula1>=Opening_Message_Version</formula1>
    </dataValidation>
    <dataValidation sqref="P2:P1000" showDropDown="0" showInputMessage="0" showErrorMessage="0" allowBlank="1" type="list">
      <formula1>=Resume_Version</formula1>
    </dataValidation>
    <dataValidation sqref="Q2:Q1000" showDropDown="0" showInputMessage="0" showErrorMessage="0" allowBlank="1" type="list">
      <formula1>=Current_Status</formula1>
    </dataValidation>
    <dataValidation sqref="U2:U1000" showDropDown="0" showInputMessage="0" showErrorMessage="0" allowBlank="1" type="list">
      <formula1>=Interview_Round</formula1>
    </dataValidation>
    <dataValidation sqref="V2:V1000" showDropDown="0" showInputMessage="0" showErrorMessage="0" allowBlank="1" type="list">
      <formula1>=Interview_Result</formula1>
    </dataValidation>
    <dataValidation sqref="X2:X1000" showDropDown="0" showInputMessage="0" showErrorMessage="0" allowBlank="1" type="list">
      <formula1>=Next_Action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24" customWidth="1" min="4" max="4"/>
    <col width="16" customWidth="1" min="5" max="5"/>
    <col width="14" customWidth="1" min="9" max="9"/>
    <col width="16" customWidth="1" min="10" max="10"/>
    <col width="16" customWidth="1" min="11" max="11"/>
  </cols>
  <sheetData>
    <row r="1">
      <c r="A1" s="1" t="inlineStr">
        <is>
          <t>Total Applications</t>
        </is>
      </c>
      <c r="B1" s="1" t="inlineStr">
        <is>
          <t>Today Applications</t>
        </is>
      </c>
      <c r="C1" s="1" t="inlineStr">
        <is>
          <t>BOSS Applications</t>
        </is>
      </c>
      <c r="D1" s="1" t="inlineStr">
        <is>
          <t>Read Count</t>
        </is>
      </c>
      <c r="E1" s="1" t="inlineStr">
        <is>
          <t>Reply Count</t>
        </is>
      </c>
      <c r="F1" s="1" t="inlineStr">
        <is>
          <t>Interview Count</t>
        </is>
      </c>
      <c r="G1" s="1" t="inlineStr">
        <is>
          <t>Rejected Count</t>
        </is>
      </c>
      <c r="H1" s="1" t="inlineStr">
        <is>
          <t>Offer Count</t>
        </is>
      </c>
      <c r="I1" s="1" t="inlineStr">
        <is>
          <t>Reply Rate</t>
        </is>
      </c>
      <c r="J1" s="1" t="inlineStr">
        <is>
          <t>Interview Rate</t>
        </is>
      </c>
      <c r="K1" s="1" t="inlineStr">
        <is>
          <t>Rejected Rate</t>
        </is>
      </c>
    </row>
    <row r="2">
      <c r="A2" s="9">
        <f>IFERROR(COUNTA(Applications!$E$2:$E$1000),0)</f>
        <v/>
      </c>
      <c r="B2" s="9">
        <f>IFERROR(COUNTIF(Applications!$B$2:$B$1000,TODAY()),0)</f>
        <v/>
      </c>
      <c r="C2" s="9">
        <f>IFERROR(COUNTIF(Applications!$C$2:$C$1000,"BOSS"),0)</f>
        <v/>
      </c>
      <c r="D2" s="9">
        <f>IFERROR(COUNTIF(Applications!$R$2:$R$1000,"&lt;&gt;"),0)</f>
        <v/>
      </c>
      <c r="E2" s="9">
        <f>IFERROR(COUNTIF(Applications!$Q$2:$Q$1000,"Replied")+COUNTIF(Applications!$Q$2:$Q$1000,"Interview Scheduled")+COUNTIF(Applications!$Q$2:$Q$1000,"Interview Completed")+COUNTIF(Applications!$Q$2:$Q$1000,"Offer"),0)</f>
        <v/>
      </c>
      <c r="F2" s="9">
        <f>IFERROR(COUNTIF(Applications!$Q$2:$Q$1000,"Interview Scheduled")+COUNTIF(Applications!$Q$2:$Q$1000,"Interview Completed")+COUNTIF(Applications!$Q$2:$Q$1000,"Offer"),0)</f>
        <v/>
      </c>
      <c r="G2" s="9">
        <f>IFERROR(COUNTIF(Applications!$Q$2:$Q$1000,"Rejected"),0)</f>
        <v/>
      </c>
      <c r="H2" s="9">
        <f>IFERROR(COUNTIF(Applications!$Q$2:$Q$1000,"Offer"),0)</f>
        <v/>
      </c>
      <c r="I2" s="3">
        <f>IFERROR(E2/A2,0)</f>
        <v/>
      </c>
      <c r="J2" s="3">
        <f>IFERROR(F2/A2,0)</f>
        <v/>
      </c>
      <c r="K2" s="3">
        <f>IFERROR(G2/A2,0)</f>
        <v/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Status Distribution</t>
        </is>
      </c>
      <c r="B4" s="2" t="n"/>
      <c r="C4" s="2" t="n"/>
      <c r="D4" s="4" t="inlineStr">
        <is>
          <t>Priority Distribution</t>
        </is>
      </c>
      <c r="E4" s="2" t="n"/>
      <c r="F4" s="2" t="n"/>
      <c r="G4" s="2" t="n"/>
      <c r="H4" s="2" t="n"/>
      <c r="I4" s="2" t="n"/>
      <c r="J4" s="2" t="n"/>
      <c r="K4" s="2" t="n"/>
    </row>
    <row r="5">
      <c r="A5" s="1" t="inlineStr">
        <is>
          <t>Status</t>
        </is>
      </c>
      <c r="B5" s="1" t="inlineStr">
        <is>
          <t>Count</t>
        </is>
      </c>
      <c r="C5" s="2" t="n"/>
      <c r="D5" s="1" t="inlineStr">
        <is>
          <t>Priority Tier</t>
        </is>
      </c>
      <c r="E5" s="1" t="inlineStr">
        <is>
          <t>Count</t>
        </is>
      </c>
      <c r="F5" s="2" t="n"/>
      <c r="G5" s="2" t="n"/>
      <c r="H5" s="2" t="n"/>
      <c r="I5" s="2" t="n"/>
      <c r="J5" s="2" t="n"/>
      <c r="K5" s="2" t="n"/>
    </row>
    <row r="6">
      <c r="A6" s="2" t="inlineStr">
        <is>
          <t>To Contact</t>
        </is>
      </c>
      <c r="B6" s="2">
        <f>IFERROR(COUNTIF(Applications!$Q$2:$Q$1000,A6),0)</f>
        <v/>
      </c>
      <c r="C6" s="2" t="n"/>
      <c r="D6" s="2" t="inlineStr">
        <is>
          <t>A - High Match</t>
        </is>
      </c>
      <c r="E6" s="2">
        <f>IFERROR(COUNTIF(Applications!$J$2:$J$1000,D6),0)</f>
        <v/>
      </c>
      <c r="F6" s="2" t="n"/>
      <c r="G6" s="2" t="n"/>
      <c r="H6" s="2" t="n"/>
      <c r="I6" s="2" t="n"/>
      <c r="J6" s="2" t="n"/>
      <c r="K6" s="2" t="n"/>
    </row>
    <row r="7">
      <c r="A7" s="2" t="inlineStr">
        <is>
          <t>Contacted</t>
        </is>
      </c>
      <c r="B7" s="2">
        <f>IFERROR(COUNTIF(Applications!$Q$2:$Q$1000,A7),0)</f>
        <v/>
      </c>
      <c r="C7" s="2" t="n"/>
      <c r="D7" s="2" t="inlineStr">
        <is>
          <t>B - Worth Applying</t>
        </is>
      </c>
      <c r="E7" s="2">
        <f>IFERROR(COUNTIF(Applications!$J$2:$J$1000,D7),0)</f>
        <v/>
      </c>
      <c r="F7" s="2" t="n"/>
      <c r="G7" s="2" t="n"/>
      <c r="H7" s="2" t="n"/>
      <c r="I7" s="2" t="n"/>
      <c r="J7" s="2" t="n"/>
      <c r="K7" s="2" t="n"/>
    </row>
    <row r="8">
      <c r="A8" s="2" t="inlineStr">
        <is>
          <t>Read No Reply</t>
        </is>
      </c>
      <c r="B8" s="2">
        <f>IFERROR(COUNTIF(Applications!$Q$2:$Q$1000,A8),0)</f>
        <v/>
      </c>
      <c r="C8" s="2" t="n"/>
      <c r="D8" s="2" t="inlineStr">
        <is>
          <t>C - Practice</t>
        </is>
      </c>
      <c r="E8" s="2">
        <f>IFERROR(COUNTIF(Applications!$J$2:$J$1000,D8),0)</f>
        <v/>
      </c>
      <c r="F8" s="2" t="n"/>
      <c r="G8" s="2" t="n"/>
      <c r="H8" s="2" t="n"/>
      <c r="I8" s="2" t="n"/>
      <c r="J8" s="2" t="n"/>
      <c r="K8" s="2" t="n"/>
    </row>
    <row r="9">
      <c r="A9" s="2" t="inlineStr">
        <is>
          <t>Replied</t>
        </is>
      </c>
      <c r="B9" s="2">
        <f>IFERROR(COUNTIF(Applications!$Q$2:$Q$1000,A9),0)</f>
        <v/>
      </c>
      <c r="C9" s="2" t="n"/>
      <c r="D9" s="2" t="inlineStr">
        <is>
          <t>Skip</t>
        </is>
      </c>
      <c r="E9" s="2">
        <f>IFERROR(COUNTIF(Applications!$J$2:$J$1000,D9),0)</f>
        <v/>
      </c>
      <c r="F9" s="2" t="n"/>
      <c r="G9" s="2" t="n"/>
      <c r="H9" s="2" t="n"/>
      <c r="I9" s="2" t="n"/>
      <c r="J9" s="2" t="n"/>
      <c r="K9" s="2" t="n"/>
    </row>
    <row r="10">
      <c r="A10" s="2" t="inlineStr">
        <is>
          <t>Interview Scheduled</t>
        </is>
      </c>
      <c r="B10" s="2">
        <f>IFERROR(COUNTIF(Applications!$Q$2:$Q$1000,A10),0)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Interview Completed</t>
        </is>
      </c>
      <c r="B11" s="2">
        <f>IFERROR(COUNTIF(Applications!$Q$2:$Q$1000,A11),0)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Rejected</t>
        </is>
      </c>
      <c r="B12" s="2">
        <f>IFERROR(COUNTIF(Applications!$Q$2:$Q$1000,A12),0)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Offer</t>
        </is>
      </c>
      <c r="B13" s="2">
        <f>IFERROR(COUNTIF(Applications!$Q$2:$Q$1000,A13),0)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Withdrawn</t>
        </is>
      </c>
      <c r="B14" s="2">
        <f>IFERROR(COUNTIF(Applications!$Q$2:$Q$1000,A14),0)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Date</t>
        </is>
      </c>
      <c r="B1" s="1" t="inlineStr">
        <is>
          <t>Applications Today</t>
        </is>
      </c>
      <c r="C1" s="1" t="inlineStr">
        <is>
          <t>Read Count</t>
        </is>
      </c>
      <c r="D1" s="1" t="inlineStr">
        <is>
          <t>Reply Count</t>
        </is>
      </c>
      <c r="E1" s="1" t="inlineStr">
        <is>
          <t>Interview Count</t>
        </is>
      </c>
      <c r="F1" s="1" t="inlineStr">
        <is>
          <t>Rejected Count</t>
        </is>
      </c>
      <c r="G1" s="1" t="inlineStr">
        <is>
          <t>Main Channels</t>
        </is>
      </c>
      <c r="H1" s="1" t="inlineStr">
        <is>
          <t>High-Frequency JD Keywords</t>
        </is>
      </c>
      <c r="I1" s="1" t="inlineStr">
        <is>
          <t>Issues Found</t>
        </is>
      </c>
      <c r="J1" s="1" t="inlineStr">
        <is>
          <t>Tomorrow Strategy</t>
        </is>
      </c>
      <c r="K1" s="1" t="inlineStr">
        <is>
          <t>Tomorrow Prep Focus</t>
        </is>
      </c>
    </row>
    <row r="2">
      <c r="A2" s="2" t="inlineStr">
        <is>
          <t>2026-06-30</t>
        </is>
      </c>
      <c r="B2" s="2" t="n">
        <v>4</v>
      </c>
      <c r="C2" s="2" t="n">
        <v>1</v>
      </c>
      <c r="D2" s="2" t="n">
        <v>1</v>
      </c>
      <c r="E2" s="2" t="n">
        <v>0</v>
      </c>
      <c r="F2" s="2" t="n">
        <v>1</v>
      </c>
      <c r="G2" s="2" t="inlineStr">
        <is>
          <t>BOSS; Referral</t>
        </is>
      </c>
      <c r="H2" s="2" t="inlineStr">
        <is>
          <t>Java; Spring Boot; RAG</t>
        </is>
      </c>
      <c r="I2" s="2" t="inlineStr">
        <is>
          <t>Need clearer follow-up timing</t>
        </is>
      </c>
      <c r="J2" s="2" t="inlineStr">
        <is>
          <t>Focus on high-match backend roles</t>
        </is>
      </c>
      <c r="K2" s="2" t="inlineStr">
        <is>
          <t>Review Spring Boot project explanation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s="1" t="inlineStr">
        <is>
          <t>Interview Date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Interview Round</t>
        </is>
      </c>
      <c r="E1" s="1" t="inlineStr">
        <is>
          <t>Interviewer Focus</t>
        </is>
      </c>
      <c r="F1" s="1" t="inlineStr">
        <is>
          <t>Project Introduction Smooth</t>
        </is>
      </c>
      <c r="G1" s="1" t="inlineStr">
        <is>
          <t>Redis / High-Concurrency Questions</t>
        </is>
      </c>
      <c r="H1" s="1" t="inlineStr">
        <is>
          <t>MySQL / Spring / JUC Questions</t>
        </is>
      </c>
      <c r="I1" s="1" t="inlineStr">
        <is>
          <t>Algorithm Question</t>
        </is>
      </c>
      <c r="J1" s="1" t="inlineStr">
        <is>
          <t>AI Tool Calling Question</t>
        </is>
      </c>
      <c r="K1" s="1" t="inlineStr">
        <is>
          <t>Weakest Answer</t>
        </is>
      </c>
      <c r="L1" s="1" t="inlineStr">
        <is>
          <t>Knowledge To Improve</t>
        </is>
      </c>
      <c r="M1" s="1" t="inlineStr">
        <is>
          <t>Next Round / Follow-Up</t>
        </is>
      </c>
      <c r="N1" s="1" t="inlineStr">
        <is>
          <t>Review Summary</t>
        </is>
      </c>
    </row>
    <row r="2">
      <c r="A2" s="2" t="inlineStr">
        <is>
          <t>2026-06-30</t>
        </is>
      </c>
      <c r="B2" s="2" t="inlineStr">
        <is>
          <t>Sample AI</t>
        </is>
      </c>
      <c r="C2" s="2" t="inlineStr">
        <is>
          <t>AI Application Backend Intern</t>
        </is>
      </c>
      <c r="D2" s="2" t="inlineStr">
        <is>
          <t>First Round</t>
        </is>
      </c>
      <c r="E2" s="2" t="inlineStr">
        <is>
          <t>Project and backend fundamentals</t>
        </is>
      </c>
      <c r="F2" s="2" t="inlineStr">
        <is>
          <t>Yes</t>
        </is>
      </c>
      <c r="G2" s="2" t="inlineStr">
        <is>
          <t>Redis cache strategy</t>
        </is>
      </c>
      <c r="H2" s="2" t="inlineStr">
        <is>
          <t>MySQL index; Spring transaction</t>
        </is>
      </c>
      <c r="I2" s="2" t="inlineStr">
        <is>
          <t>Two-pointer easy problem</t>
        </is>
      </c>
      <c r="J2" s="2" t="inlineStr">
        <is>
          <t>Asked about tool invocation flow</t>
        </is>
      </c>
      <c r="K2" s="2" t="inlineStr">
        <is>
          <t>Transaction isolation explanation</t>
        </is>
      </c>
      <c r="L2" s="2" t="inlineStr">
        <is>
          <t>Review MySQL isolation and RAG flow</t>
        </is>
      </c>
      <c r="M2" s="2" t="inlineStr">
        <is>
          <t>Pending</t>
        </is>
      </c>
      <c r="N2" s="2" t="inlineStr">
        <is>
          <t>Mock interview review only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Platform</t>
        </is>
      </c>
      <c r="B1" s="1" t="inlineStr">
        <is>
          <t>Company Size</t>
        </is>
      </c>
      <c r="C1" s="1" t="inlineStr">
        <is>
          <t>Priority Tier</t>
        </is>
      </c>
      <c r="D1" s="1" t="inlineStr">
        <is>
          <t>Job Type</t>
        </is>
      </c>
      <c r="E1" s="1" t="inlineStr">
        <is>
          <t>Match Level</t>
        </is>
      </c>
      <c r="F1" s="1" t="inlineStr">
        <is>
          <t>Contacted Proactively</t>
        </is>
      </c>
      <c r="G1" s="1" t="inlineStr">
        <is>
          <t>Opening Message Version</t>
        </is>
      </c>
      <c r="H1" s="1" t="inlineStr">
        <is>
          <t>Resume Version</t>
        </is>
      </c>
      <c r="I1" s="1" t="inlineStr">
        <is>
          <t>Current Status</t>
        </is>
      </c>
      <c r="J1" s="1" t="inlineStr">
        <is>
          <t>Interview Round</t>
        </is>
      </c>
      <c r="K1" s="1" t="inlineStr">
        <is>
          <t>Interview Result</t>
        </is>
      </c>
      <c r="L1" s="1" t="inlineStr">
        <is>
          <t>Next Action</t>
        </is>
      </c>
    </row>
    <row r="2">
      <c r="A2" s="2" t="inlineStr">
        <is>
          <t>BOSS</t>
        </is>
      </c>
      <c r="B2" s="2" t="inlineStr">
        <is>
          <t>0-20</t>
        </is>
      </c>
      <c r="C2" s="2" t="inlineStr">
        <is>
          <t>A - High Match</t>
        </is>
      </c>
      <c r="D2" s="2" t="inlineStr">
        <is>
          <t>Java Backend</t>
        </is>
      </c>
      <c r="E2" s="2" t="inlineStr">
        <is>
          <t>High</t>
        </is>
      </c>
      <c r="F2" s="2" t="inlineStr">
        <is>
          <t>Yes</t>
        </is>
      </c>
      <c r="G2" s="2" t="inlineStr">
        <is>
          <t>Normal Java</t>
        </is>
      </c>
      <c r="H2" s="2" t="inlineStr">
        <is>
          <t>A - Java Backend</t>
        </is>
      </c>
      <c r="I2" s="2" t="inlineStr">
        <is>
          <t>To Contact</t>
        </is>
      </c>
      <c r="J2" s="2" t="inlineStr">
        <is>
          <t>First Round</t>
        </is>
      </c>
      <c r="K2" s="2" t="inlineStr">
        <is>
          <t>Not Started</t>
        </is>
      </c>
      <c r="L2" s="2" t="inlineStr">
        <is>
          <t>Wait for Reply</t>
        </is>
      </c>
    </row>
    <row r="3">
      <c r="A3" s="2" t="inlineStr">
        <is>
          <t>Referral</t>
        </is>
      </c>
      <c r="B3" s="2" t="inlineStr">
        <is>
          <t>20-99</t>
        </is>
      </c>
      <c r="C3" s="2" t="inlineStr">
        <is>
          <t>B - Worth Applying</t>
        </is>
      </c>
      <c r="D3" s="2" t="inlineStr">
        <is>
          <t>Backend</t>
        </is>
      </c>
      <c r="E3" s="2" t="inlineStr">
        <is>
          <t>Medium</t>
        </is>
      </c>
      <c r="F3" s="2" t="inlineStr">
        <is>
          <t>No</t>
        </is>
      </c>
      <c r="G3" s="2" t="inlineStr">
        <is>
          <t>Redis Backend</t>
        </is>
      </c>
      <c r="H3" s="2" t="inlineStr">
        <is>
          <t>B - AI Backend</t>
        </is>
      </c>
      <c r="I3" s="2" t="inlineStr">
        <is>
          <t>Contacted</t>
        </is>
      </c>
      <c r="J3" s="2" t="inlineStr">
        <is>
          <t>Second Round</t>
        </is>
      </c>
      <c r="K3" s="2" t="inlineStr">
        <is>
          <t>Passed</t>
        </is>
      </c>
      <c r="L3" s="2" t="inlineStr">
        <is>
          <t>Follow Up</t>
        </is>
      </c>
    </row>
    <row r="4">
      <c r="A4" s="2" t="inlineStr">
        <is>
          <t>Official Site</t>
        </is>
      </c>
      <c r="B4" s="2" t="inlineStr">
        <is>
          <t>100-499</t>
        </is>
      </c>
      <c r="C4" s="2" t="inlineStr">
        <is>
          <t>C - Practice</t>
        </is>
      </c>
      <c r="D4" s="2" t="inlineStr">
        <is>
          <t>AI Backend</t>
        </is>
      </c>
      <c r="E4" s="2" t="inlineStr">
        <is>
          <t>Low</t>
        </is>
      </c>
      <c r="F4" s="2" t="n"/>
      <c r="G4" s="2" t="inlineStr">
        <is>
          <t>AI Backend</t>
        </is>
      </c>
      <c r="H4" s="2" t="inlineStr">
        <is>
          <t>Other</t>
        </is>
      </c>
      <c r="I4" s="2" t="inlineStr">
        <is>
          <t>Read No Reply</t>
        </is>
      </c>
      <c r="J4" s="2" t="inlineStr">
        <is>
          <t>HR Round</t>
        </is>
      </c>
      <c r="K4" s="2" t="inlineStr">
        <is>
          <t>Pending</t>
        </is>
      </c>
      <c r="L4" s="2" t="inlineStr">
        <is>
          <t>Send Resume</t>
        </is>
      </c>
    </row>
    <row r="5">
      <c r="A5" s="2" t="inlineStr">
        <is>
          <t>Intern Platform</t>
        </is>
      </c>
      <c r="B5" s="2" t="inlineStr">
        <is>
          <t>500-999</t>
        </is>
      </c>
      <c r="C5" s="2" t="inlineStr">
        <is>
          <t>Skip</t>
        </is>
      </c>
      <c r="D5" s="2" t="inlineStr">
        <is>
          <t>Service Backend</t>
        </is>
      </c>
      <c r="E5" s="2" t="n"/>
      <c r="F5" s="2" t="n"/>
      <c r="G5" s="2" t="inlineStr">
        <is>
          <t>Formal Short</t>
        </is>
      </c>
      <c r="H5" s="2" t="n"/>
      <c r="I5" s="2" t="inlineStr">
        <is>
          <t>Replied</t>
        </is>
      </c>
      <c r="J5" s="2" t="inlineStr">
        <is>
          <t>Written Test</t>
        </is>
      </c>
      <c r="K5" s="2" t="inlineStr">
        <is>
          <t>Failed</t>
        </is>
      </c>
      <c r="L5" s="2" t="inlineStr">
        <is>
          <t>Prepare Interview</t>
        </is>
      </c>
    </row>
    <row r="6">
      <c r="A6" s="2" t="inlineStr">
        <is>
          <t>Community</t>
        </is>
      </c>
      <c r="B6" s="2" t="inlineStr">
        <is>
          <t>1000-9999</t>
        </is>
      </c>
      <c r="C6" s="2" t="n"/>
      <c r="D6" s="2" t="inlineStr">
        <is>
          <t>Testing</t>
        </is>
      </c>
      <c r="E6" s="2" t="n"/>
      <c r="F6" s="2" t="n"/>
      <c r="G6" s="2" t="inlineStr">
        <is>
          <t>Other</t>
        </is>
      </c>
      <c r="H6" s="2" t="n"/>
      <c r="I6" s="2" t="inlineStr">
        <is>
          <t>Interview Scheduled</t>
        </is>
      </c>
      <c r="J6" s="2" t="inlineStr">
        <is>
          <t>Other</t>
        </is>
      </c>
      <c r="K6" s="2" t="inlineStr">
        <is>
          <t>Canceled</t>
        </is>
      </c>
      <c r="L6" s="2" t="inlineStr">
        <is>
          <t>Interview Review</t>
        </is>
      </c>
    </row>
    <row r="7">
      <c r="A7" s="2" t="inlineStr">
        <is>
          <t>Other</t>
        </is>
      </c>
      <c r="B7" s="2" t="inlineStr">
        <is>
          <t>10000+</t>
        </is>
      </c>
      <c r="C7" s="2" t="n"/>
      <c r="D7" s="2" t="inlineStr">
        <is>
          <t>Other</t>
        </is>
      </c>
      <c r="E7" s="2" t="n"/>
      <c r="F7" s="2" t="n"/>
      <c r="G7" s="2" t="n"/>
      <c r="H7" s="2" t="n"/>
      <c r="I7" s="2" t="inlineStr">
        <is>
          <t>Interview Completed</t>
        </is>
      </c>
      <c r="J7" s="2" t="n"/>
      <c r="K7" s="2" t="n"/>
      <c r="L7" s="2" t="inlineStr">
        <is>
          <t>Update Resume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inlineStr">
        <is>
          <t>Rejected</t>
        </is>
      </c>
      <c r="J8" s="2" t="n"/>
      <c r="K8" s="2" t="n"/>
      <c r="L8" s="2" t="inlineStr">
        <is>
          <t>Give Up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inlineStr">
        <is>
          <t>Offer</t>
        </is>
      </c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inlineStr">
        <is>
          <t>Withdrawn</t>
        </is>
      </c>
      <c r="J10" s="2" t="n"/>
      <c r="K10" s="2" t="n"/>
      <c r="L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2026-06-30T14:59:34Z</dcterms:created>
  <dcterms:modified xmlns:dcterms="http://purl.org/dc/terms/" xmlns:xsi="http://www.w3.org/2001/XMLSchema-instance" xsi:type="dcterms:W3CDTF">2026-06-30T15:19:51Z</dcterms:modified>
</cp:coreProperties>
</file>